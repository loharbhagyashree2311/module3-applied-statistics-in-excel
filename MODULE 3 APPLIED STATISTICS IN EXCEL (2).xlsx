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User Profile\Desktop\"/>
    </mc:Choice>
  </mc:AlternateContent>
  <bookViews>
    <workbookView xWindow="0" yWindow="0" windowWidth="28800" windowHeight="124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Q3" i="1" l="1"/>
  <c r="H3" i="1"/>
</calcChain>
</file>

<file path=xl/sharedStrings.xml><?xml version="1.0" encoding="utf-8"?>
<sst xmlns="http://schemas.openxmlformats.org/spreadsheetml/2006/main" count="48" uniqueCount="38">
  <si>
    <t>2007 Figures</t>
  </si>
  <si>
    <t xml:space="preserve">month </t>
  </si>
  <si>
    <t>Amount</t>
  </si>
  <si>
    <t>2008 Figures</t>
  </si>
  <si>
    <t>2009 Figures</t>
  </si>
  <si>
    <t>Variance</t>
  </si>
  <si>
    <t>6,170,524,69</t>
  </si>
  <si>
    <t>Group 1</t>
  </si>
  <si>
    <t>Group 2</t>
  </si>
  <si>
    <t>Group 3</t>
  </si>
  <si>
    <t>REF</t>
  </si>
  <si>
    <t xml:space="preserve">HEIGHT </t>
  </si>
  <si>
    <t>G1.1</t>
  </si>
  <si>
    <t>G1.2</t>
  </si>
  <si>
    <t>G1.3</t>
  </si>
  <si>
    <t>G1.4</t>
  </si>
  <si>
    <t>G1.5</t>
  </si>
  <si>
    <t>G1.6</t>
  </si>
  <si>
    <t>G1.7</t>
  </si>
  <si>
    <t>G1.8</t>
  </si>
  <si>
    <t>G2.1</t>
  </si>
  <si>
    <t>G2.2</t>
  </si>
  <si>
    <t>G2.3</t>
  </si>
  <si>
    <t>G2.4</t>
  </si>
  <si>
    <t>G2.5</t>
  </si>
  <si>
    <t>G2.6</t>
  </si>
  <si>
    <t>G2.7</t>
  </si>
  <si>
    <t>G2.8</t>
  </si>
  <si>
    <t>G3.1</t>
  </si>
  <si>
    <t>G3.2</t>
  </si>
  <si>
    <t>G3.3</t>
  </si>
  <si>
    <t>G3.4</t>
  </si>
  <si>
    <t>G3.5</t>
  </si>
  <si>
    <t>G3.6</t>
  </si>
  <si>
    <t>G3.7</t>
  </si>
  <si>
    <t>G3.8</t>
  </si>
  <si>
    <t>VARIANCE</t>
  </si>
  <si>
    <t>…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</si>
</sst>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9C65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FFFFCC"/>
      </patternFill>
    </fill>
  </fills>
  <borders count="3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2" fillId="2" borderId="0" applyNumberFormat="0" applyBorder="0" applyAlignment="0" applyProtection="0"/>
    <xf numFmtId="0" fontId="1" fillId="3" borderId="1" applyNumberFormat="0" applyFont="0" applyAlignment="0" applyProtection="0"/>
  </cellStyleXfs>
  <cellXfs count="11">
    <xf numFmtId="0" fontId="0" fillId="0" borderId="0" xfId="0"/>
    <xf numFmtId="17" fontId="0" fillId="0" borderId="0" xfId="0" applyNumberFormat="1"/>
    <xf numFmtId="3" fontId="0" fillId="0" borderId="0" xfId="0" applyNumberFormat="1"/>
    <xf numFmtId="0" fontId="2" fillId="2" borderId="0" xfId="1"/>
    <xf numFmtId="0" fontId="2" fillId="2" borderId="2" xfId="1" applyBorder="1" applyAlignment="1">
      <alignment horizontal="center" wrapText="1"/>
    </xf>
    <xf numFmtId="0" fontId="0" fillId="3" borderId="2" xfId="2" applyFont="1" applyBorder="1"/>
    <xf numFmtId="17" fontId="0" fillId="0" borderId="2" xfId="0" applyNumberFormat="1" applyBorder="1"/>
    <xf numFmtId="3" fontId="0" fillId="0" borderId="2" xfId="0" applyNumberFormat="1" applyBorder="1"/>
    <xf numFmtId="0" fontId="2" fillId="2" borderId="2" xfId="1" applyBorder="1" applyAlignment="1">
      <alignment horizontal="center"/>
    </xf>
    <xf numFmtId="0" fontId="0" fillId="0" borderId="2" xfId="0" applyBorder="1"/>
    <xf numFmtId="0" fontId="0" fillId="0" borderId="2" xfId="0" applyBorder="1" applyAlignment="1">
      <alignment horizontal="right"/>
    </xf>
  </cellXfs>
  <cellStyles count="3">
    <cellStyle name="Neutral" xfId="1" builtinId="28"/>
    <cellStyle name="Normal" xfId="0" builtinId="0"/>
    <cellStyle name="Note" xfId="2" builtinId="1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5"/>
  <sheetViews>
    <sheetView tabSelected="1" workbookViewId="0">
      <selection activeCell="Q3" sqref="Q3"/>
    </sheetView>
  </sheetViews>
  <sheetFormatPr defaultRowHeight="15" x14ac:dyDescent="0.25"/>
  <cols>
    <col min="7" max="7" width="5" customWidth="1"/>
    <col min="8" max="8" width="12" customWidth="1"/>
    <col min="16" max="16" width="4.140625" customWidth="1"/>
    <col min="17" max="17" width="11.42578125" customWidth="1"/>
  </cols>
  <sheetData>
    <row r="1" spans="1:17" x14ac:dyDescent="0.25">
      <c r="A1" s="4" t="s">
        <v>0</v>
      </c>
      <c r="B1" s="4"/>
      <c r="C1" s="4" t="s">
        <v>3</v>
      </c>
      <c r="D1" s="4"/>
      <c r="E1" s="4" t="s">
        <v>4</v>
      </c>
      <c r="F1" s="4"/>
      <c r="H1" s="9" t="s">
        <v>5</v>
      </c>
      <c r="J1" s="8" t="s">
        <v>7</v>
      </c>
      <c r="K1" s="8"/>
      <c r="L1" s="8" t="s">
        <v>8</v>
      </c>
      <c r="M1" s="8"/>
      <c r="N1" s="8" t="s">
        <v>9</v>
      </c>
      <c r="O1" s="8"/>
      <c r="P1" s="3"/>
      <c r="Q1" s="9" t="s">
        <v>36</v>
      </c>
    </row>
    <row r="2" spans="1:17" x14ac:dyDescent="0.25">
      <c r="A2" s="5" t="s">
        <v>1</v>
      </c>
      <c r="B2" s="5" t="s">
        <v>2</v>
      </c>
      <c r="C2" s="5" t="s">
        <v>1</v>
      </c>
      <c r="D2" s="5" t="s">
        <v>2</v>
      </c>
      <c r="E2" s="5" t="s">
        <v>1</v>
      </c>
      <c r="F2" s="5" t="s">
        <v>2</v>
      </c>
      <c r="H2" s="9" t="s">
        <v>6</v>
      </c>
      <c r="J2" s="5" t="s">
        <v>10</v>
      </c>
      <c r="K2" s="5" t="s">
        <v>11</v>
      </c>
      <c r="L2" s="5" t="s">
        <v>10</v>
      </c>
      <c r="M2" s="5" t="s">
        <v>11</v>
      </c>
      <c r="N2" s="5" t="s">
        <v>10</v>
      </c>
      <c r="O2" s="5" t="s">
        <v>11</v>
      </c>
      <c r="Q2" s="9">
        <v>9.2619047620000003</v>
      </c>
    </row>
    <row r="3" spans="1:17" x14ac:dyDescent="0.25">
      <c r="A3" s="6">
        <v>39083</v>
      </c>
      <c r="B3" s="7">
        <v>15000</v>
      </c>
      <c r="C3" s="6">
        <v>39448</v>
      </c>
      <c r="D3" s="7">
        <v>17500</v>
      </c>
      <c r="E3" s="6">
        <v>39814</v>
      </c>
      <c r="F3" s="7">
        <v>13000</v>
      </c>
      <c r="H3" s="9">
        <f>_xlfn.VAR.P(B3:B14,D3:D14,F3:F14)</f>
        <v>6170524.6913580243</v>
      </c>
      <c r="J3" s="9" t="s">
        <v>12</v>
      </c>
      <c r="K3" s="9">
        <v>176</v>
      </c>
      <c r="L3" s="9" t="s">
        <v>20</v>
      </c>
      <c r="M3" s="9">
        <v>179</v>
      </c>
      <c r="N3" s="9" t="s">
        <v>28</v>
      </c>
      <c r="O3" s="9">
        <v>179</v>
      </c>
      <c r="Q3" s="9">
        <f>_xlfn.VAR.S(K3:K9,M3:M9,O3:O9)</f>
        <v>9.2619047619047628</v>
      </c>
    </row>
    <row r="4" spans="1:17" x14ac:dyDescent="0.25">
      <c r="A4" s="6">
        <v>39114</v>
      </c>
      <c r="B4" s="7">
        <v>14500</v>
      </c>
      <c r="C4" s="6">
        <v>39479</v>
      </c>
      <c r="D4" s="7">
        <v>12000</v>
      </c>
      <c r="E4" s="6">
        <v>39845</v>
      </c>
      <c r="F4" s="7">
        <v>15000</v>
      </c>
      <c r="J4" s="9" t="s">
        <v>13</v>
      </c>
      <c r="K4" s="9">
        <v>174</v>
      </c>
      <c r="L4" s="9" t="s">
        <v>21</v>
      </c>
      <c r="M4" s="9">
        <v>173</v>
      </c>
      <c r="N4" s="9" t="s">
        <v>29</v>
      </c>
      <c r="O4" s="9">
        <v>178</v>
      </c>
    </row>
    <row r="5" spans="1:17" x14ac:dyDescent="0.25">
      <c r="A5" s="6">
        <v>39142</v>
      </c>
      <c r="B5" s="7">
        <v>14500</v>
      </c>
      <c r="C5" s="6">
        <v>39508</v>
      </c>
      <c r="D5" s="7">
        <v>16000</v>
      </c>
      <c r="E5" s="6">
        <v>39873</v>
      </c>
      <c r="F5" s="7">
        <v>14000</v>
      </c>
      <c r="J5" s="9" t="s">
        <v>14</v>
      </c>
      <c r="K5" s="9">
        <v>181</v>
      </c>
      <c r="L5" s="9" t="s">
        <v>22</v>
      </c>
      <c r="M5" s="9">
        <v>184</v>
      </c>
      <c r="N5" s="9" t="s">
        <v>30</v>
      </c>
      <c r="O5" s="9">
        <v>176</v>
      </c>
    </row>
    <row r="6" spans="1:17" x14ac:dyDescent="0.25">
      <c r="A6" s="6">
        <v>39173</v>
      </c>
      <c r="B6" s="7">
        <v>14000</v>
      </c>
      <c r="C6" s="6">
        <v>39539</v>
      </c>
      <c r="D6" s="7">
        <v>19000</v>
      </c>
      <c r="E6" s="6">
        <v>39904</v>
      </c>
      <c r="F6" s="7">
        <v>16500</v>
      </c>
      <c r="J6" s="9" t="s">
        <v>15</v>
      </c>
      <c r="K6" s="9">
        <v>178</v>
      </c>
      <c r="L6" s="9" t="s">
        <v>23</v>
      </c>
      <c r="M6" s="9">
        <v>175</v>
      </c>
      <c r="N6" s="9" t="s">
        <v>31</v>
      </c>
      <c r="O6" s="9">
        <v>181</v>
      </c>
    </row>
    <row r="7" spans="1:17" x14ac:dyDescent="0.25">
      <c r="A7" s="6">
        <v>39203</v>
      </c>
      <c r="B7" s="7">
        <v>16000</v>
      </c>
      <c r="C7" s="6">
        <v>39569</v>
      </c>
      <c r="D7" s="7">
        <v>17000</v>
      </c>
      <c r="E7" s="6">
        <v>39934</v>
      </c>
      <c r="F7" s="7">
        <v>20000</v>
      </c>
      <c r="J7" s="9" t="s">
        <v>16</v>
      </c>
      <c r="K7" s="9">
        <v>183</v>
      </c>
      <c r="L7" s="9" t="s">
        <v>24</v>
      </c>
      <c r="M7" s="9">
        <v>172</v>
      </c>
      <c r="N7" s="9" t="s">
        <v>32</v>
      </c>
      <c r="O7" s="9">
        <v>177</v>
      </c>
    </row>
    <row r="8" spans="1:17" x14ac:dyDescent="0.25">
      <c r="A8" s="6">
        <v>39234</v>
      </c>
      <c r="B8" s="7">
        <v>9500</v>
      </c>
      <c r="C8" s="6">
        <v>39600</v>
      </c>
      <c r="D8" s="7">
        <v>10500</v>
      </c>
      <c r="E8" s="6">
        <v>39965</v>
      </c>
      <c r="F8" s="7">
        <v>12500</v>
      </c>
      <c r="J8" s="9" t="s">
        <v>17</v>
      </c>
      <c r="K8" s="9">
        <v>176</v>
      </c>
      <c r="L8" s="9" t="s">
        <v>25</v>
      </c>
      <c r="M8" s="9">
        <v>176</v>
      </c>
      <c r="N8" s="9" t="s">
        <v>33</v>
      </c>
      <c r="O8" s="9">
        <v>179</v>
      </c>
    </row>
    <row r="9" spans="1:17" x14ac:dyDescent="0.25">
      <c r="A9" s="6">
        <v>39264</v>
      </c>
      <c r="B9" s="7">
        <v>13500</v>
      </c>
      <c r="C9" s="6">
        <v>39630</v>
      </c>
      <c r="D9" s="7">
        <v>11000</v>
      </c>
      <c r="E9" s="6">
        <v>39995</v>
      </c>
      <c r="F9" s="7">
        <v>14000</v>
      </c>
      <c r="J9" s="9" t="s">
        <v>18</v>
      </c>
      <c r="K9" s="9">
        <v>177</v>
      </c>
      <c r="L9" s="9" t="s">
        <v>26</v>
      </c>
      <c r="M9" s="9">
        <v>177</v>
      </c>
      <c r="N9" s="9" t="s">
        <v>34</v>
      </c>
      <c r="O9" s="9">
        <v>176</v>
      </c>
    </row>
    <row r="10" spans="1:17" x14ac:dyDescent="0.25">
      <c r="A10" s="6">
        <v>39295</v>
      </c>
      <c r="B10" s="7">
        <v>17000</v>
      </c>
      <c r="C10" s="6">
        <v>39661</v>
      </c>
      <c r="D10" s="7">
        <v>12500</v>
      </c>
      <c r="E10" s="6">
        <v>40026</v>
      </c>
      <c r="F10" s="7">
        <v>18500</v>
      </c>
      <c r="J10" s="9" t="s">
        <v>19</v>
      </c>
      <c r="K10" s="10" t="s">
        <v>37</v>
      </c>
      <c r="L10" s="9" t="s">
        <v>27</v>
      </c>
      <c r="M10" s="10" t="s">
        <v>37</v>
      </c>
      <c r="N10" s="9" t="s">
        <v>35</v>
      </c>
      <c r="O10" s="10" t="s">
        <v>37</v>
      </c>
    </row>
    <row r="11" spans="1:17" x14ac:dyDescent="0.25">
      <c r="A11" s="6">
        <v>39326</v>
      </c>
      <c r="B11" s="7">
        <v>11000</v>
      </c>
      <c r="C11" s="6">
        <v>39692</v>
      </c>
      <c r="D11" s="7">
        <v>13000</v>
      </c>
      <c r="E11" s="6">
        <v>40057</v>
      </c>
      <c r="F11" s="7">
        <v>14500</v>
      </c>
    </row>
    <row r="12" spans="1:17" x14ac:dyDescent="0.25">
      <c r="A12" s="6">
        <v>39356</v>
      </c>
      <c r="B12" s="7">
        <v>15000</v>
      </c>
      <c r="C12" s="6">
        <v>39722</v>
      </c>
      <c r="D12" s="7">
        <v>15500</v>
      </c>
      <c r="E12" s="6">
        <v>40087</v>
      </c>
      <c r="F12" s="7">
        <v>13000</v>
      </c>
    </row>
    <row r="13" spans="1:17" x14ac:dyDescent="0.25">
      <c r="A13" s="6">
        <v>39387</v>
      </c>
      <c r="B13" s="7">
        <v>17500</v>
      </c>
      <c r="C13" s="6">
        <v>39753</v>
      </c>
      <c r="D13" s="7">
        <v>15000</v>
      </c>
      <c r="E13" s="6">
        <v>40118</v>
      </c>
      <c r="F13" s="7">
        <v>13000</v>
      </c>
    </row>
    <row r="14" spans="1:17" x14ac:dyDescent="0.25">
      <c r="A14" s="6">
        <v>39417</v>
      </c>
      <c r="B14" s="7">
        <v>18000</v>
      </c>
      <c r="C14" s="6">
        <v>39783</v>
      </c>
      <c r="D14" s="7">
        <v>17500</v>
      </c>
      <c r="E14" s="6">
        <v>40148</v>
      </c>
      <c r="F14" s="7">
        <v>17000</v>
      </c>
    </row>
    <row r="15" spans="1:17" x14ac:dyDescent="0.25">
      <c r="A15" s="1"/>
      <c r="B15" s="2"/>
    </row>
  </sheetData>
  <mergeCells count="6">
    <mergeCell ref="A1:B1"/>
    <mergeCell ref="C1:D1"/>
    <mergeCell ref="E1:F1"/>
    <mergeCell ref="J1:K1"/>
    <mergeCell ref="L1:M1"/>
    <mergeCell ref="N1:O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GF914</dc:creator>
  <cp:lastModifiedBy>GF914</cp:lastModifiedBy>
  <dcterms:created xsi:type="dcterms:W3CDTF">2026-04-18T05:46:40Z</dcterms:created>
  <dcterms:modified xsi:type="dcterms:W3CDTF">2026-04-18T06:47:22Z</dcterms:modified>
</cp:coreProperties>
</file>